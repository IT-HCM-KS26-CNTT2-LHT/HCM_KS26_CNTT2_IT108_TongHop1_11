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euMuon" sheetId="1" state="visible" r:id="rId3"/>
    <sheet name="DanhMucSach" sheetId="2" state="visible" r:id="rId4"/>
  </sheets>
  <definedNames>
    <definedName function="false" hidden="true" localSheetId="0" name="_xlnm._FilterDatabase" vbProcedure="false">PhieuMuon!$A$1:$F$5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VLOOKUP 4 tham số: giá trị cần tìm, bảng tra cứu (khóa bằng $), cột trả về = 2, FALSE = tìm chính xác. IFERROR thay #N/A của mã S099 bằng thông báo.</t>
        </r>
      </text>
    </comment>
  </commentList>
</comments>
</file>

<file path=xl/sharedStrings.xml><?xml version="1.0" encoding="utf-8"?>
<sst xmlns="http://schemas.openxmlformats.org/spreadsheetml/2006/main" count="39" uniqueCount="30">
  <si>
    <t xml:space="preserve">MSSV</t>
  </si>
  <si>
    <t xml:space="preserve">Họ Tên</t>
  </si>
  <si>
    <t xml:space="preserve">Mã Sách</t>
  </si>
  <si>
    <t xml:space="preserve">Ngày Mượn</t>
  </si>
  <si>
    <t xml:space="preserve">Tình Trạng</t>
  </si>
  <si>
    <t xml:space="preserve">Tên Sách</t>
  </si>
  <si>
    <t xml:space="preserve">Tổng số phiếu</t>
  </si>
  <si>
    <t xml:space="preserve">SV001</t>
  </si>
  <si>
    <t xml:space="preserve">Nguyễn Văn An</t>
  </si>
  <si>
    <t xml:space="preserve">S001</t>
  </si>
  <si>
    <t xml:space="preserve">Đang mượn</t>
  </si>
  <si>
    <t xml:space="preserve">SV002</t>
  </si>
  <si>
    <t xml:space="preserve">Trần Thị Bình</t>
  </si>
  <si>
    <t xml:space="preserve">S002</t>
  </si>
  <si>
    <t xml:space="preserve">Quá hạn</t>
  </si>
  <si>
    <t xml:space="preserve">SV003</t>
  </si>
  <si>
    <t xml:space="preserve">Lê Văn Cường</t>
  </si>
  <si>
    <t xml:space="preserve">S003</t>
  </si>
  <si>
    <t xml:space="preserve">Đã trả</t>
  </si>
  <si>
    <t xml:space="preserve">SV004</t>
  </si>
  <si>
    <t xml:space="preserve">Phạm Thu Hà</t>
  </si>
  <si>
    <t xml:space="preserve">S099</t>
  </si>
  <si>
    <t xml:space="preserve">Tiêu đề gốc (đã gỡ khỏi bảng): DANH SÁCH MƯỢN SÁCH THÁNG 10</t>
  </si>
  <si>
    <t xml:space="preserve">Thể Loại</t>
  </si>
  <si>
    <t xml:space="preserve">Lập Trình C Căn Bản</t>
  </si>
  <si>
    <t xml:space="preserve">Công nghệ thông tin</t>
  </si>
  <si>
    <t xml:space="preserve">Giải Tích 1</t>
  </si>
  <si>
    <t xml:space="preserve">Toán học</t>
  </si>
  <si>
    <t xml:space="preserve">Kỹ Năng Mềm</t>
  </si>
  <si>
    <t xml:space="preserve">Kỹ năng sống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</si>
</sst>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A8B99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3C4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8"/>
      </left>
      <right style="thin">
        <color rgb="FFC9D3D8"/>
      </right>
      <top style="thin">
        <color rgb="FFC9D3D8"/>
      </top>
      <bottom style="thin">
        <color rgb="FFC9D3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3C4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B99"/>
      <rgbColor rgb="FF9999FF"/>
      <rgbColor rgb="FF993366"/>
      <rgbColor rgb="FFFFFFCC"/>
      <rgbColor rgb="FFCCFFFF"/>
      <rgbColor rgb="FF660066"/>
      <rgbColor rgb="FFFF8080"/>
      <rgbColor rgb="FF0066CC"/>
      <rgbColor rgb="FFC9D3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C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6</v>
      </c>
      <c r="I1" s="2" t="n">
        <f aca="false">COUNTA(A2:A5)</f>
        <v>4</v>
      </c>
    </row>
    <row r="2" customFormat="false" ht="15" hidden="false" customHeight="false" outlineLevel="0" collapsed="false">
      <c r="A2" s="4" t="s">
        <v>7</v>
      </c>
      <c r="B2" s="4" t="s">
        <v>8</v>
      </c>
      <c r="C2" s="4" t="s">
        <v>9</v>
      </c>
      <c r="D2" s="5" t="n">
        <v>46296</v>
      </c>
      <c r="E2" s="4" t="s">
        <v>10</v>
      </c>
      <c r="F2" s="4" t="str">
        <f aca="false">IFERROR(VLOOKUP(C2,DanhMucSach!$A$2:$C$4,2,FALSE()),"Không tìm thấy sách")</f>
        <v>Lập Trình C Căn Bản</v>
      </c>
      <c r="G2" s="2"/>
      <c r="H2" s="2"/>
      <c r="I2" s="2"/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5" t="n">
        <v>46298</v>
      </c>
      <c r="E3" s="4" t="s">
        <v>14</v>
      </c>
      <c r="F3" s="4" t="str">
        <f aca="false">IFERROR(VLOOKUP(C3,DanhMucSach!$A$2:$C$4,2,FALSE()),"Không tìm thấy sách")</f>
        <v>Giải Tích 1</v>
      </c>
      <c r="G3" s="2"/>
      <c r="H3" s="3" t="s">
        <v>10</v>
      </c>
      <c r="I3" s="2" t="n">
        <f aca="false">COUNTIF($E$2:$E$5,H3)</f>
        <v>2</v>
      </c>
    </row>
    <row r="4" customFormat="false" ht="15" hidden="false" customHeight="false" outlineLevel="0" collapsed="false">
      <c r="A4" s="4" t="s">
        <v>15</v>
      </c>
      <c r="B4" s="4" t="s">
        <v>16</v>
      </c>
      <c r="C4" s="4" t="s">
        <v>17</v>
      </c>
      <c r="D4" s="5" t="n">
        <v>46305</v>
      </c>
      <c r="E4" s="4" t="s">
        <v>18</v>
      </c>
      <c r="F4" s="4" t="str">
        <f aca="false">IFERROR(VLOOKUP(C4,DanhMucSach!$A$2:$C$4,2,FALSE()),"Không tìm thấy sách")</f>
        <v>Kỹ Năng Mềm</v>
      </c>
      <c r="G4" s="2"/>
      <c r="H4" s="3" t="s">
        <v>14</v>
      </c>
      <c r="I4" s="2" t="n">
        <f aca="false">COUNTIF($E$2:$E$5,H4)</f>
        <v>1</v>
      </c>
    </row>
    <row r="5" customFormat="false" ht="15" hidden="false" customHeight="false" outlineLevel="0" collapsed="false">
      <c r="A5" s="4" t="s">
        <v>19</v>
      </c>
      <c r="B5" s="4" t="s">
        <v>20</v>
      </c>
      <c r="C5" s="4" t="s">
        <v>21</v>
      </c>
      <c r="D5" s="5" t="n">
        <v>46307</v>
      </c>
      <c r="E5" s="4" t="s">
        <v>10</v>
      </c>
      <c r="F5" s="4" t="str">
        <f aca="false">IFERROR(VLOOKUP(C5,DanhMucSach!$A$2:$C$4,2,FALSE()),"Không tìm thấy sách")</f>
        <v>Không tìm thấy sách</v>
      </c>
      <c r="G5" s="2"/>
      <c r="H5" s="3" t="s">
        <v>18</v>
      </c>
      <c r="I5" s="2" t="n">
        <f aca="false">COUNTIF($E$2:$E$5,H5)</f>
        <v>1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2"/>
      <c r="H6" s="2"/>
      <c r="I6" s="2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2"/>
      <c r="H7" s="6" t="s">
        <v>22</v>
      </c>
      <c r="I7" s="2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" t="s">
        <v>2</v>
      </c>
      <c r="B1" s="1" t="s">
        <v>5</v>
      </c>
      <c r="C1" s="1" t="s">
        <v>23</v>
      </c>
    </row>
    <row r="2" customFormat="false" ht="15" hidden="false" customHeight="false" outlineLevel="0" collapsed="false">
      <c r="A2" s="4" t="s">
        <v>9</v>
      </c>
      <c r="B2" s="4" t="s">
        <v>24</v>
      </c>
      <c r="C2" s="4" t="s">
        <v>25</v>
      </c>
    </row>
    <row r="3" customFormat="false" ht="15" hidden="false" customHeight="false" outlineLevel="0" collapsed="false">
      <c r="A3" s="4" t="s">
        <v>13</v>
      </c>
      <c r="B3" s="4" t="s">
        <v>26</v>
      </c>
      <c r="C3" s="4" t="s">
        <v>27</v>
      </c>
    </row>
    <row r="4" customFormat="false" ht="15" hidden="false" customHeight="false" outlineLevel="0" collapsed="false">
      <c r="A4" s="4" t="s">
        <v>17</v>
      </c>
      <c r="B4" s="4" t="s">
        <v>28</v>
      </c>
      <c r="C4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2026-10-20T03:22:28Z</dcterms:created>
  <dc:creator>openpyxl</dc:creator>
  <dc:description/>
  <dc:language>en-US</dc:language>
  <cp:lastModifiedBy/>
  <dcterms:modified xsi:type="dcterms:W3CDTF">2026-10-20T03:22:28Z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